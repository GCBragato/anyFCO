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usta\Desktop\"/>
    </mc:Choice>
  </mc:AlternateContent>
  <xr:revisionPtr revIDLastSave="0" documentId="13_ncr:1_{BC2A035E-5991-4F9C-82CA-32AEEE55C3C8}" xr6:coauthVersionLast="47" xr6:coauthVersionMax="47" xr10:uidLastSave="{00000000-0000-0000-0000-000000000000}"/>
  <bookViews>
    <workbookView xWindow="-28920" yWindow="-120" windowWidth="29040" windowHeight="15840" xr2:uid="{F8E7FDB3-C0CA-42A1-969B-C58BEBB1E7B0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3" i="1" l="1"/>
  <c r="F18" i="1"/>
  <c r="F17" i="1"/>
  <c r="F16" i="1"/>
  <c r="F15" i="1"/>
  <c r="F14" i="1"/>
  <c r="F5" i="1"/>
  <c r="F6" i="1"/>
  <c r="F7" i="1"/>
  <c r="F8" i="1"/>
  <c r="F9" i="1"/>
  <c r="F4" i="1"/>
  <c r="B15" i="1"/>
  <c r="B13" i="1"/>
  <c r="B11" i="1"/>
  <c r="B9" i="1"/>
  <c r="B16" i="1"/>
  <c r="B14" i="1"/>
  <c r="B12" i="1"/>
  <c r="B10" i="1"/>
  <c r="B7" i="1"/>
  <c r="B8" i="1" s="1"/>
  <c r="B4" i="1"/>
  <c r="B18" i="1" l="1"/>
</calcChain>
</file>

<file path=xl/sharedStrings.xml><?xml version="1.0" encoding="utf-8"?>
<sst xmlns="http://schemas.openxmlformats.org/spreadsheetml/2006/main" count="29" uniqueCount="21">
  <si>
    <t>A</t>
  </si>
  <si>
    <t>B</t>
  </si>
  <si>
    <t>H</t>
  </si>
  <si>
    <t>A1a4</t>
  </si>
  <si>
    <t>X1</t>
  </si>
  <si>
    <t>Y1</t>
  </si>
  <si>
    <t>X2</t>
  </si>
  <si>
    <t>Y2</t>
  </si>
  <si>
    <t>X3</t>
  </si>
  <si>
    <t>Y3</t>
  </si>
  <si>
    <t>X4</t>
  </si>
  <si>
    <t>Y4</t>
  </si>
  <si>
    <t>I</t>
  </si>
  <si>
    <t>Ig</t>
  </si>
  <si>
    <t>X</t>
  </si>
  <si>
    <t>Y</t>
  </si>
  <si>
    <t>X,Y</t>
  </si>
  <si>
    <t>Formato Original</t>
  </si>
  <si>
    <t>Formato Deslocado CG(0,0)</t>
  </si>
  <si>
    <t xml:space="preserve"> </t>
  </si>
  <si>
    <t>Moment of Inertia of a Circle | calcresource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</si>
</sst>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rial"/>
      <family val="2"/>
    </font>
    <font>
      <sz val="12"/>
      <color theme="1"/>
      <name val="JetBrains Mono"/>
      <family val="3"/>
    </font>
    <font>
      <u/>
      <sz val="12"/>
      <color theme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2" fontId="1" fillId="0" borderId="0" xfId="0" quotePrefix="1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195512</xdr:colOff>
      <xdr:row>1</xdr:row>
      <xdr:rowOff>62977</xdr:rowOff>
    </xdr:from>
    <xdr:to>
      <xdr:col>10</xdr:col>
      <xdr:colOff>610663</xdr:colOff>
      <xdr:row>17</xdr:row>
      <xdr:rowOff>206270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0CD71D4-8A0A-D561-AB76-5D2013526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49" y="273530"/>
          <a:ext cx="2701151" cy="351213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alcresource.com/moment-of-inertia-circle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A7454-24EF-4C67-A6F6-1994E79D20E5}">
  <dimension ref="A1:O25"/>
  <sheetViews>
    <sheetView tabSelected="1" topLeftCell="C1" zoomScale="190" zoomScaleNormal="190" workbookViewId="0">
      <selection activeCell="D2" sqref="D2:F2"/>
    </sheetView>
  </sheetViews>
  <sheetFormatPr defaultRowHeight="16.5" x14ac:dyDescent="0.2"/>
  <cols>
    <col min="1" max="2" width="8.88671875" style="1"/>
    <col min="3" max="3" width="2.44140625" style="1" customWidth="1"/>
    <col min="4" max="5" width="8.88671875" style="1" customWidth="1"/>
    <col min="6" max="6" width="11.6640625" style="1" customWidth="1"/>
    <col min="7" max="7" width="2.44140625" style="2" customWidth="1"/>
    <col min="8" max="16384" width="8.88671875" style="1"/>
  </cols>
  <sheetData>
    <row r="1" spans="1:15" s="2" customFormat="1" x14ac:dyDescent="0.2"/>
    <row r="2" spans="1:15" x14ac:dyDescent="0.2">
      <c r="A2" s="1" t="s">
        <v>1</v>
      </c>
      <c r="B2" s="1">
        <v>20</v>
      </c>
      <c r="D2" s="6" t="s">
        <v>17</v>
      </c>
      <c r="E2" s="6"/>
      <c r="F2" s="6"/>
    </row>
    <row r="3" spans="1:15" x14ac:dyDescent="0.2">
      <c r="A3" s="1" t="s">
        <v>2</v>
      </c>
      <c r="B3" s="1">
        <v>40</v>
      </c>
      <c r="C3" s="2"/>
      <c r="D3" s="1" t="s">
        <v>14</v>
      </c>
      <c r="E3" s="1" t="s">
        <v>15</v>
      </c>
      <c r="F3" s="1" t="s">
        <v>16</v>
      </c>
    </row>
    <row r="4" spans="1:15" x14ac:dyDescent="0.2">
      <c r="A4" s="1" t="s">
        <v>12</v>
      </c>
      <c r="B4" s="1">
        <f>B2*(B3^3)/12</f>
        <v>106666.66666666667</v>
      </c>
      <c r="C4" s="2"/>
      <c r="D4" s="2">
        <v>-8</v>
      </c>
      <c r="E4" s="1">
        <v>-1</v>
      </c>
      <c r="F4" s="1" t="str">
        <f>_xlfn.CONCAT(D4,",",E4)</f>
        <v>-8,-1</v>
      </c>
      <c r="L4" s="7" t="s">
        <v>20</v>
      </c>
    </row>
    <row r="5" spans="1:15" x14ac:dyDescent="0.2">
      <c r="C5" s="2"/>
      <c r="D5" s="1">
        <v>-6</v>
      </c>
      <c r="E5" s="1">
        <v>-1</v>
      </c>
      <c r="F5" s="1" t="str">
        <f t="shared" ref="F5:F9" si="0">_xlfn.CONCAT(D5,",",E5)</f>
        <v>-6,-1</v>
      </c>
    </row>
    <row r="6" spans="1:15" x14ac:dyDescent="0.2">
      <c r="C6" s="2"/>
      <c r="D6" s="1">
        <v>8</v>
      </c>
      <c r="E6" s="1">
        <v>-8</v>
      </c>
      <c r="F6" s="1" t="str">
        <f t="shared" si="0"/>
        <v>8,-8</v>
      </c>
    </row>
    <row r="7" spans="1:15" x14ac:dyDescent="0.2">
      <c r="A7" s="1" t="s">
        <v>0</v>
      </c>
      <c r="B7" s="1">
        <f>B2*B3</f>
        <v>800</v>
      </c>
      <c r="C7" s="2"/>
      <c r="D7" s="1">
        <v>7</v>
      </c>
      <c r="E7" s="1">
        <v>1</v>
      </c>
      <c r="F7" s="1" t="str">
        <f t="shared" si="0"/>
        <v>7,1</v>
      </c>
    </row>
    <row r="8" spans="1:15" x14ac:dyDescent="0.2">
      <c r="A8" s="1" t="s">
        <v>3</v>
      </c>
      <c r="B8" s="1">
        <f>B7/4</f>
        <v>200</v>
      </c>
      <c r="C8" s="2"/>
      <c r="D8" s="1">
        <v>3</v>
      </c>
      <c r="E8" s="1">
        <v>3</v>
      </c>
      <c r="F8" s="1" t="str">
        <f t="shared" si="0"/>
        <v>3,3</v>
      </c>
    </row>
    <row r="9" spans="1:15" x14ac:dyDescent="0.2">
      <c r="A9" s="1" t="s">
        <v>4</v>
      </c>
      <c r="B9" s="1">
        <f>B2/4</f>
        <v>5</v>
      </c>
      <c r="C9" s="2"/>
      <c r="D9" s="1">
        <v>-4</v>
      </c>
      <c r="E9" s="1">
        <v>9</v>
      </c>
      <c r="F9" s="1" t="str">
        <f t="shared" si="0"/>
        <v>-4,9</v>
      </c>
    </row>
    <row r="10" spans="1:15" x14ac:dyDescent="0.2">
      <c r="A10" s="1" t="s">
        <v>5</v>
      </c>
      <c r="B10" s="1">
        <f>B3/4</f>
        <v>10</v>
      </c>
      <c r="C10" s="2"/>
    </row>
    <row r="11" spans="1:15" x14ac:dyDescent="0.2">
      <c r="A11" s="1" t="s">
        <v>6</v>
      </c>
      <c r="B11" s="1">
        <f>-B2/4</f>
        <v>-5</v>
      </c>
      <c r="C11" s="2"/>
      <c r="D11" s="6" t="s">
        <v>18</v>
      </c>
      <c r="E11" s="6"/>
      <c r="F11" s="6"/>
      <c r="H11" s="2"/>
      <c r="I11" s="2"/>
      <c r="J11" s="2"/>
      <c r="K11" s="2"/>
      <c r="L11" s="2"/>
      <c r="M11" s="2"/>
      <c r="N11" s="2"/>
      <c r="O11" s="2"/>
    </row>
    <row r="12" spans="1:15" x14ac:dyDescent="0.2">
      <c r="A12" s="1" t="s">
        <v>7</v>
      </c>
      <c r="B12" s="1">
        <f>B3/4</f>
        <v>10</v>
      </c>
      <c r="C12" s="2"/>
      <c r="D12" s="2" t="s">
        <v>14</v>
      </c>
      <c r="E12" s="2" t="s">
        <v>15</v>
      </c>
      <c r="F12" s="2" t="s">
        <v>16</v>
      </c>
      <c r="H12" s="2"/>
      <c r="I12" s="2"/>
      <c r="J12" s="2"/>
      <c r="K12" s="2"/>
      <c r="L12" s="2"/>
      <c r="M12" s="2"/>
      <c r="N12" s="2"/>
      <c r="O12" s="2"/>
    </row>
    <row r="13" spans="1:15" x14ac:dyDescent="0.2">
      <c r="A13" s="1" t="s">
        <v>8</v>
      </c>
      <c r="B13" s="1">
        <f>B2/4</f>
        <v>5</v>
      </c>
      <c r="C13" s="2"/>
      <c r="D13" s="3">
        <v>-4.35686274509803</v>
      </c>
      <c r="E13" s="4">
        <v>8.7490196078431293</v>
      </c>
      <c r="F13" s="5" t="str">
        <f>_xlfn.CONCAT(D13,",",E13)</f>
        <v>-4.35686274509803,8.74901960784313</v>
      </c>
      <c r="G13" s="2" t="s">
        <v>19</v>
      </c>
      <c r="H13" s="2"/>
      <c r="I13" s="2"/>
      <c r="J13" s="2"/>
      <c r="K13" s="2"/>
      <c r="L13" s="2"/>
      <c r="M13" s="2"/>
      <c r="N13" s="2"/>
      <c r="O13" s="2"/>
    </row>
    <row r="14" spans="1:15" x14ac:dyDescent="0.2">
      <c r="A14" s="1" t="s">
        <v>9</v>
      </c>
      <c r="B14" s="1">
        <f>-B3/4</f>
        <v>-10</v>
      </c>
      <c r="C14" s="2"/>
      <c r="D14" s="3">
        <v>2.6431372549019598</v>
      </c>
      <c r="E14" s="3">
        <v>2.7490196078431302</v>
      </c>
      <c r="F14" s="5" t="str">
        <f t="shared" ref="F14:F18" si="1">_xlfn.CONCAT(D14,",",E14)</f>
        <v>2.64313725490196,2.74901960784313</v>
      </c>
      <c r="G14" s="2" t="s">
        <v>19</v>
      </c>
      <c r="H14" s="2"/>
      <c r="I14" s="2"/>
      <c r="J14" s="2"/>
      <c r="K14" s="2"/>
      <c r="L14" s="2"/>
      <c r="M14" s="2"/>
      <c r="N14" s="2"/>
      <c r="O14" s="2"/>
    </row>
    <row r="15" spans="1:15" x14ac:dyDescent="0.2">
      <c r="A15" s="1" t="s">
        <v>10</v>
      </c>
      <c r="B15" s="1">
        <f>-B2/4</f>
        <v>-5</v>
      </c>
      <c r="C15" s="2"/>
      <c r="D15" s="3">
        <v>6.6431372549019603</v>
      </c>
      <c r="E15" s="3">
        <v>0.74901960784313704</v>
      </c>
      <c r="F15" s="5" t="str">
        <f t="shared" si="1"/>
        <v>6.64313725490196,0.749019607843137</v>
      </c>
      <c r="G15" s="2" t="s">
        <v>19</v>
      </c>
      <c r="H15" s="2"/>
      <c r="I15" s="2"/>
      <c r="J15" s="2"/>
      <c r="K15" s="2"/>
      <c r="L15" s="2"/>
      <c r="M15" s="2"/>
      <c r="N15" s="2"/>
      <c r="O15" s="2"/>
    </row>
    <row r="16" spans="1:15" x14ac:dyDescent="0.2">
      <c r="A16" s="1" t="s">
        <v>11</v>
      </c>
      <c r="B16" s="1">
        <f>-B3/4</f>
        <v>-10</v>
      </c>
      <c r="C16" s="2"/>
      <c r="D16" s="3">
        <v>7.6431372549019603</v>
      </c>
      <c r="E16" s="3">
        <v>-8.2509803921568601</v>
      </c>
      <c r="F16" s="5" t="str">
        <f t="shared" si="1"/>
        <v>7.64313725490196,-8.25098039215686</v>
      </c>
      <c r="G16" s="2" t="s">
        <v>19</v>
      </c>
      <c r="H16" s="2"/>
      <c r="I16" s="2"/>
      <c r="J16" s="2"/>
      <c r="K16" s="2"/>
      <c r="L16" s="2"/>
      <c r="M16" s="2"/>
      <c r="N16" s="2"/>
      <c r="O16" s="2"/>
    </row>
    <row r="17" spans="1:15" x14ac:dyDescent="0.2">
      <c r="C17" s="2"/>
      <c r="D17" s="3">
        <v>-6.35686274509803</v>
      </c>
      <c r="E17" s="3">
        <v>-1.2509803921568601</v>
      </c>
      <c r="F17" s="5" t="str">
        <f t="shared" si="1"/>
        <v>-6.35686274509803,-1.25098039215686</v>
      </c>
      <c r="G17" s="2" t="s">
        <v>19</v>
      </c>
      <c r="H17" s="2"/>
      <c r="I17" s="2"/>
      <c r="J17" s="2"/>
      <c r="K17" s="2"/>
      <c r="L17" s="2"/>
      <c r="M17" s="2"/>
      <c r="N17" s="2"/>
      <c r="O17" s="2"/>
    </row>
    <row r="18" spans="1:15" x14ac:dyDescent="0.2">
      <c r="A18" s="1" t="s">
        <v>13</v>
      </c>
      <c r="B18" s="1">
        <f>$B$8*(B10^2+B12^2+B14^2+B16^2)</f>
        <v>80000</v>
      </c>
      <c r="C18" s="2"/>
      <c r="D18" s="3">
        <v>-8.3568627450980397</v>
      </c>
      <c r="E18" s="3">
        <v>-1.2509803921568601</v>
      </c>
      <c r="F18" s="5" t="str">
        <f t="shared" si="1"/>
        <v>-8.35686274509804,-1.25098039215686</v>
      </c>
      <c r="G18" s="2" t="s">
        <v>19</v>
      </c>
      <c r="H18" s="2"/>
      <c r="I18" s="2"/>
      <c r="J18" s="2"/>
      <c r="K18" s="2"/>
      <c r="L18" s="2"/>
      <c r="M18" s="2"/>
      <c r="N18" s="2"/>
      <c r="O18" s="2"/>
    </row>
    <row r="19" spans="1:15" x14ac:dyDescent="0.2">
      <c r="C19" s="2"/>
      <c r="H19" s="2"/>
      <c r="I19" s="2"/>
      <c r="J19" s="2"/>
      <c r="K19" s="2"/>
      <c r="L19" s="2"/>
      <c r="M19" s="2"/>
      <c r="N19" s="2"/>
      <c r="O19" s="2"/>
    </row>
    <row r="20" spans="1:15" x14ac:dyDescent="0.2">
      <c r="D20" s="6"/>
      <c r="E20" s="6"/>
      <c r="F20" s="6"/>
      <c r="H20" s="2"/>
      <c r="I20" s="2"/>
      <c r="J20" s="2"/>
      <c r="K20" s="2"/>
      <c r="L20" s="2"/>
      <c r="M20" s="2"/>
      <c r="N20" s="2"/>
      <c r="O20" s="2"/>
    </row>
    <row r="21" spans="1:15" x14ac:dyDescent="0.2">
      <c r="D21" s="2"/>
      <c r="E21" s="2"/>
      <c r="F21" s="2"/>
      <c r="H21" s="2"/>
      <c r="I21" s="2"/>
      <c r="J21" s="2"/>
      <c r="K21" s="2"/>
      <c r="L21" s="2"/>
      <c r="M21" s="2"/>
      <c r="N21" s="2"/>
      <c r="O21" s="2"/>
    </row>
    <row r="22" spans="1:15" x14ac:dyDescent="0.2">
      <c r="D22" s="2"/>
      <c r="E22" s="2"/>
      <c r="F22" s="2"/>
      <c r="H22" s="2"/>
      <c r="I22" s="2"/>
      <c r="J22" s="2"/>
      <c r="K22" s="2"/>
      <c r="L22" s="2"/>
      <c r="M22" s="2"/>
    </row>
    <row r="23" spans="1:15" x14ac:dyDescent="0.2">
      <c r="D23" s="2"/>
      <c r="E23" s="2"/>
      <c r="F23" s="2"/>
      <c r="H23" s="2"/>
      <c r="I23" s="2"/>
      <c r="J23" s="2"/>
      <c r="K23" s="2"/>
      <c r="L23" s="2"/>
      <c r="M23" s="2"/>
    </row>
    <row r="24" spans="1:15" x14ac:dyDescent="0.2">
      <c r="D24" s="2"/>
      <c r="E24" s="2"/>
      <c r="F24" s="2"/>
    </row>
    <row r="25" spans="1:15" x14ac:dyDescent="0.2">
      <c r="D25" s="2"/>
      <c r="E25" s="2"/>
      <c r="F25" s="2"/>
    </row>
  </sheetData>
  <mergeCells count="3">
    <mergeCell ref="D2:F2"/>
    <mergeCell ref="D11:F11"/>
    <mergeCell ref="D20:F20"/>
  </mergeCells>
  <hyperlinks>
    <hyperlink ref="L4" r:id="rId1" display="https://calcresource.com/moment-of-inertia-circle.html" xr:uid="{EC2C481F-DFDD-4651-BCD7-02FED91CEFE9}"/>
  </hyperlinks>
  <pageMargins left="0.511811024" right="0.511811024" top="0.78740157499999996" bottom="0.78740157499999996" header="0.31496062000000002" footer="0.31496062000000002"/>
  <pageSetup paperSize="9" orientation="portrait" verticalDpi="30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Bragato</dc:creator>
  <cp:lastModifiedBy>Gustavo Bragato</cp:lastModifiedBy>
  <dcterms:created xsi:type="dcterms:W3CDTF">2022-05-13T12:28:33Z</dcterms:created>
  <dcterms:modified xsi:type="dcterms:W3CDTF">2022-05-13T16:56:26Z</dcterms:modified>
</cp:coreProperties>
</file>